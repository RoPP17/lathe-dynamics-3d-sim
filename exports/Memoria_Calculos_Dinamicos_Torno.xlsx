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ros_Entrada" sheetId="1" state="visible" r:id="rId1"/>
    <sheet xmlns:r="http://schemas.openxmlformats.org/officeDocument/2006/relationships" name="Memoria_20_Calcul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000"/>
    <numFmt numFmtId="166" formatCode="0.000"/>
    <numFmt numFmtId="167" formatCode="#,##0.000"/>
    <numFmt numFmtId="168" formatCode="0.000000"/>
    <numFmt numFmtId="169" formatCode="0.0000000"/>
  </numFmts>
  <fonts count="10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1F4E79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2060"/>
      <sz val="10"/>
    </font>
    <font>
      <name val="Arial"/>
      <i val="1"/>
      <color rgb="00595959"/>
      <sz val="9"/>
    </font>
    <font>
      <name val="Arial"/>
      <color rgb="00000000"/>
      <sz val="10"/>
    </font>
    <font>
      <name val="Arial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left"/>
    </xf>
    <xf numFmtId="164" fontId="5" fillId="3" borderId="2" applyAlignment="1" pivotButton="0" quotePrefix="0" xfId="0">
      <alignment horizontal="right"/>
    </xf>
    <xf numFmtId="0" fontId="7" fillId="0" borderId="2" applyAlignment="1" pivotButton="0" quotePrefix="0" xfId="0">
      <alignment horizontal="center"/>
    </xf>
    <xf numFmtId="165" fontId="5" fillId="3" borderId="2" applyAlignment="1" pivotButton="0" quotePrefix="0" xfId="0">
      <alignment horizontal="right"/>
    </xf>
    <xf numFmtId="166" fontId="5" fillId="3" borderId="2" applyAlignment="1" pivotButton="0" quotePrefix="0" xfId="0">
      <alignment horizontal="right"/>
    </xf>
    <xf numFmtId="0" fontId="5" fillId="3" borderId="2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  <xf numFmtId="0" fontId="8" fillId="0" borderId="2" applyAlignment="1" pivotButton="0" quotePrefix="0" xfId="0">
      <alignment horizontal="left"/>
    </xf>
    <xf numFmtId="166" fontId="5" fillId="0" borderId="2" applyAlignment="1" pivotButton="0" quotePrefix="0" xfId="0">
      <alignment horizontal="right"/>
    </xf>
    <xf numFmtId="166" fontId="6" fillId="0" borderId="2" applyAlignment="1" pivotButton="0" quotePrefix="0" xfId="0">
      <alignment horizontal="right"/>
    </xf>
    <xf numFmtId="11" fontId="8" fillId="0" borderId="2" applyAlignment="1" pivotButton="0" quotePrefix="0" xfId="0">
      <alignment horizontal="right"/>
    </xf>
    <xf numFmtId="0" fontId="9" fillId="4" borderId="2" applyAlignment="1" pivotButton="0" quotePrefix="0" xfId="0">
      <alignment horizontal="center"/>
    </xf>
    <xf numFmtId="167" fontId="5" fillId="0" borderId="2" applyAlignment="1" pivotButton="0" quotePrefix="0" xfId="0">
      <alignment horizontal="right"/>
    </xf>
    <xf numFmtId="167" fontId="6" fillId="0" borderId="2" applyAlignment="1" pivotButton="0" quotePrefix="0" xfId="0">
      <alignment horizontal="right"/>
    </xf>
    <xf numFmtId="10" fontId="5" fillId="0" borderId="2" applyAlignment="1" pivotButton="0" quotePrefix="0" xfId="0">
      <alignment horizontal="right"/>
    </xf>
    <xf numFmtId="10" fontId="6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165" fontId="6" fillId="0" borderId="2" applyAlignment="1" pivotButton="0" quotePrefix="0" xfId="0">
      <alignment horizontal="right"/>
    </xf>
    <xf numFmtId="168" fontId="5" fillId="0" borderId="2" applyAlignment="1" pivotButton="0" quotePrefix="0" xfId="0">
      <alignment horizontal="right"/>
    </xf>
    <xf numFmtId="168" fontId="6" fillId="0" borderId="2" applyAlignment="1" pivotButton="0" quotePrefix="0" xfId="0">
      <alignment horizontal="right"/>
    </xf>
    <xf numFmtId="169" fontId="5" fillId="0" borderId="2" applyAlignment="1" pivotButton="0" quotePrefix="0" xfId="0">
      <alignment horizontal="right"/>
    </xf>
    <xf numFmtId="169" fontId="6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1" workbookViewId="0">
      <selection activeCell="A1" sqref="A1"/>
    </sheetView>
  </sheetViews>
  <sheetFormatPr baseColWidth="8" defaultRowHeight="15"/>
  <cols>
    <col width="90" customWidth="1" min="1" max="1"/>
    <col width="38" customWidth="1" min="2" max="2"/>
    <col width="12" customWidth="1" min="3" max="3"/>
    <col width="17" customWidth="1" min="4" max="4"/>
    <col width="12" customWidth="1" min="5" max="5"/>
    <col width="43" customWidth="1" min="6" max="6"/>
  </cols>
  <sheetData>
    <row r="1">
      <c r="A1" s="1" t="inlineStr">
        <is>
          <t>UNIVERSIDAD TÉCNICA DE AMBATO - FACULTAD DE INGENIERÍA CIVIL Y MECÁNICA</t>
        </is>
      </c>
    </row>
    <row r="2">
      <c r="A2" s="2" t="inlineStr">
        <is>
          <t>Asignatura: Dinámica | Cálculos Dinámicos de un Torno Didáctico para Madera (Avance 2)</t>
        </is>
      </c>
    </row>
    <row r="3">
      <c r="A3" s="3" t="inlineStr">
        <is>
          <t>PARÁMETROS FÍSICOS Y CINEMÁTICOS DE ENTRADA (BASE DE CÁLCULO OFICIAL)</t>
        </is>
      </c>
    </row>
    <row r="4"/>
    <row r="5">
      <c r="A5" s="4" t="inlineStr">
        <is>
          <t>ID</t>
        </is>
      </c>
      <c r="B5" s="4" t="inlineStr">
        <is>
          <t>Parámetro Físico</t>
        </is>
      </c>
      <c r="C5" s="4" t="inlineStr">
        <is>
          <t>Símbolo</t>
        </is>
      </c>
      <c r="D5" s="4" t="inlineStr">
        <is>
          <t>Valor Entrada</t>
        </is>
      </c>
      <c r="E5" s="4" t="inlineStr">
        <is>
          <t>Unidad</t>
        </is>
      </c>
      <c r="F5" s="4" t="inlineStr">
        <is>
          <t>Descripción / Norma</t>
        </is>
      </c>
    </row>
    <row r="6">
      <c r="A6" s="5" t="inlineStr">
        <is>
          <t>P01</t>
        </is>
      </c>
      <c r="B6" s="6" t="inlineStr">
        <is>
          <t>Velocidad angular nominal motor</t>
        </is>
      </c>
      <c r="C6" s="5" t="inlineStr">
        <is>
          <t>N_mot</t>
        </is>
      </c>
      <c r="D6" s="7" t="n">
        <v>1700</v>
      </c>
      <c r="E6" s="8" t="inlineStr">
        <is>
          <t>RPM</t>
        </is>
      </c>
      <c r="F6" s="6" t="inlineStr">
        <is>
          <t>Placa motor de inducción monofásico</t>
        </is>
      </c>
    </row>
    <row r="7">
      <c r="A7" s="5" t="inlineStr">
        <is>
          <t>P02</t>
        </is>
      </c>
      <c r="B7" s="6" t="inlineStr">
        <is>
          <t>Radio de la pieza de madera</t>
        </is>
      </c>
      <c r="C7" s="5" t="inlineStr">
        <is>
          <t>R</t>
        </is>
      </c>
      <c r="D7" s="9" t="n">
        <v>0.04</v>
      </c>
      <c r="E7" s="8" t="inlineStr">
        <is>
          <t>m</t>
        </is>
      </c>
      <c r="F7" s="6" t="inlineStr">
        <is>
          <t>Pieza cilíndrica estándar (D = 80 mm)</t>
        </is>
      </c>
    </row>
    <row r="8">
      <c r="A8" s="5" t="inlineStr">
        <is>
          <t>P03</t>
        </is>
      </c>
      <c r="B8" s="6" t="inlineStr">
        <is>
          <t>Longitud de la pieza de madera</t>
        </is>
      </c>
      <c r="C8" s="5" t="inlineStr">
        <is>
          <t>L_madera</t>
        </is>
      </c>
      <c r="D8" s="10" t="n">
        <v>0.3</v>
      </c>
      <c r="E8" s="8" t="inlineStr">
        <is>
          <t>m</t>
        </is>
      </c>
      <c r="F8" s="6" t="inlineStr">
        <is>
          <t>Longitud entre puntos</t>
        </is>
      </c>
    </row>
    <row r="9">
      <c r="A9" s="5" t="inlineStr">
        <is>
          <t>P04</t>
        </is>
      </c>
      <c r="B9" s="6" t="inlineStr">
        <is>
          <t>Densidad de la madera (Laurel)</t>
        </is>
      </c>
      <c r="C9" s="5" t="inlineStr">
        <is>
          <t>rho_m</t>
        </is>
      </c>
      <c r="D9" s="7" t="n">
        <v>500</v>
      </c>
      <c r="E9" s="8" t="inlineStr">
        <is>
          <t>kg/m³</t>
        </is>
      </c>
      <c r="F9" s="6" t="inlineStr">
        <is>
          <t>Madera semidura para tornería</t>
        </is>
      </c>
    </row>
    <row r="10">
      <c r="A10" s="5" t="inlineStr">
        <is>
          <t>P05</t>
        </is>
      </c>
      <c r="B10" s="6" t="inlineStr">
        <is>
          <t>Masa desbalanceada</t>
        </is>
      </c>
      <c r="C10" s="5" t="inlineStr">
        <is>
          <t>m_u</t>
        </is>
      </c>
      <c r="D10" s="9" t="n">
        <v>0.02</v>
      </c>
      <c r="E10" s="8" t="inlineStr">
        <is>
          <t>kg</t>
        </is>
      </c>
      <c r="F10" s="6" t="inlineStr">
        <is>
          <t>Excentricidad por densidad no homogénea</t>
        </is>
      </c>
    </row>
    <row r="11">
      <c r="A11" s="5" t="inlineStr">
        <is>
          <t>P06</t>
        </is>
      </c>
      <c r="B11" s="6" t="inlineStr">
        <is>
          <t>Excentricidad del desbalance</t>
        </is>
      </c>
      <c r="C11" s="5" t="inlineStr">
        <is>
          <t>e</t>
        </is>
      </c>
      <c r="D11" s="9" t="n">
        <v>0.002</v>
      </c>
      <c r="E11" s="8" t="inlineStr">
        <is>
          <t>m</t>
        </is>
      </c>
      <c r="F11" s="6" t="inlineStr">
        <is>
          <t>Desviación radial respecto al eje</t>
        </is>
      </c>
    </row>
    <row r="12">
      <c r="A12" s="5" t="inlineStr">
        <is>
          <t>P07</t>
        </is>
      </c>
      <c r="B12" s="6" t="inlineStr">
        <is>
          <t>Frecuencia de la red eléctrica</t>
        </is>
      </c>
      <c r="C12" s="5" t="inlineStr">
        <is>
          <t>f</t>
        </is>
      </c>
      <c r="D12" s="10" t="n">
        <v>60</v>
      </c>
      <c r="E12" s="8" t="inlineStr">
        <is>
          <t>Hz</t>
        </is>
      </c>
      <c r="F12" s="6" t="inlineStr">
        <is>
          <t>Red eléctrica industrial Ecuador</t>
        </is>
      </c>
    </row>
    <row r="13">
      <c r="A13" s="5" t="inlineStr">
        <is>
          <t>P08</t>
        </is>
      </c>
      <c r="B13" s="6" t="inlineStr">
        <is>
          <t>Número de polos magnéticos</t>
        </is>
      </c>
      <c r="C13" s="5" t="inlineStr">
        <is>
          <t>p</t>
        </is>
      </c>
      <c r="D13" s="11" t="n">
        <v>4</v>
      </c>
      <c r="E13" s="8" t="inlineStr">
        <is>
          <t>polos</t>
        </is>
      </c>
      <c r="F13" s="6" t="inlineStr">
        <is>
          <t>Estator motor 4 polos</t>
        </is>
      </c>
    </row>
    <row r="14">
      <c r="A14" s="5" t="inlineStr">
        <is>
          <t>P09</t>
        </is>
      </c>
      <c r="B14" s="6" t="inlineStr">
        <is>
          <t>Fuerza tangencial de corte</t>
        </is>
      </c>
      <c r="C14" s="5" t="inlineStr">
        <is>
          <t>F_c</t>
        </is>
      </c>
      <c r="D14" s="10" t="n">
        <v>20</v>
      </c>
      <c r="E14" s="8" t="inlineStr">
        <is>
          <t>N</t>
        </is>
      </c>
      <c r="F14" s="6" t="inlineStr">
        <is>
          <t>Acción de gubia de desbaste</t>
        </is>
      </c>
    </row>
    <row r="15">
      <c r="A15" s="5" t="inlineStr">
        <is>
          <t>P10</t>
        </is>
      </c>
      <c r="B15" s="6" t="inlineStr">
        <is>
          <t>Velocidad de avance longitudinal</t>
        </is>
      </c>
      <c r="C15" s="5" t="inlineStr">
        <is>
          <t>v_a</t>
        </is>
      </c>
      <c r="D15" s="9" t="n">
        <v>0.005</v>
      </c>
      <c r="E15" s="8" t="inlineStr">
        <is>
          <t>m/s</t>
        </is>
      </c>
      <c r="F15" s="6" t="inlineStr">
        <is>
          <t>Carro portaherramientas manual</t>
        </is>
      </c>
    </row>
    <row r="16">
      <c r="A16" s="5" t="inlineStr">
        <is>
          <t>P11</t>
        </is>
      </c>
      <c r="B16" s="6" t="inlineStr">
        <is>
          <t>Profundidad de corte radial</t>
        </is>
      </c>
      <c r="C16" s="5" t="inlineStr">
        <is>
          <t>d_r</t>
        </is>
      </c>
      <c r="D16" s="9" t="n">
        <v>0.003</v>
      </c>
      <c r="E16" s="8" t="inlineStr">
        <is>
          <t>m</t>
        </is>
      </c>
      <c r="F16" s="6" t="inlineStr">
        <is>
          <t>Desbaste inicial (3 mm)</t>
        </is>
      </c>
    </row>
    <row r="17">
      <c r="A17" s="5" t="inlineStr">
        <is>
          <t>P12</t>
        </is>
      </c>
      <c r="B17" s="6" t="inlineStr">
        <is>
          <t>Tasa de remoción de material</t>
        </is>
      </c>
      <c r="C17" s="5" t="inlineStr">
        <is>
          <t>m_dot</t>
        </is>
      </c>
      <c r="D17" s="9" t="n">
        <v>0.005</v>
      </c>
      <c r="E17" s="8" t="inlineStr">
        <is>
          <t>kg/s</t>
        </is>
      </c>
      <c r="F17" s="6" t="inlineStr">
        <is>
          <t>Flujo másico de viruta</t>
        </is>
      </c>
    </row>
    <row r="18">
      <c r="A18" s="5" t="inlineStr">
        <is>
          <t>P13</t>
        </is>
      </c>
      <c r="B18" s="6" t="inlineStr">
        <is>
          <t>Diámetro husillo principal</t>
        </is>
      </c>
      <c r="C18" s="5" t="inlineStr">
        <is>
          <t>d_h</t>
        </is>
      </c>
      <c r="D18" s="9" t="n">
        <v>0.019</v>
      </c>
      <c r="E18" s="8" t="inlineStr">
        <is>
          <t>m</t>
        </is>
      </c>
      <c r="F18" s="6" t="inlineStr">
        <is>
          <t>Eje de acero AISI 1018 (19 mm)</t>
        </is>
      </c>
    </row>
    <row r="19">
      <c r="A19" s="5" t="inlineStr">
        <is>
          <t>P14</t>
        </is>
      </c>
      <c r="B19" s="6" t="inlineStr">
        <is>
          <t>Diámetro plato de arrastre</t>
        </is>
      </c>
      <c r="C19" s="5" t="inlineStr">
        <is>
          <t>D_p</t>
        </is>
      </c>
      <c r="D19" s="10" t="n">
        <v>0.1</v>
      </c>
      <c r="E19" s="8" t="inlineStr">
        <is>
          <t>m</t>
        </is>
      </c>
      <c r="F19" s="6" t="inlineStr">
        <is>
          <t>Plato portaherramientas (100 mm)</t>
        </is>
      </c>
    </row>
    <row r="20">
      <c r="A20" s="5" t="inlineStr">
        <is>
          <t>P15</t>
        </is>
      </c>
      <c r="B20" s="6" t="inlineStr">
        <is>
          <t>Masa del husillo</t>
        </is>
      </c>
      <c r="C20" s="5" t="inlineStr">
        <is>
          <t>m_h</t>
        </is>
      </c>
      <c r="D20" s="10" t="n">
        <v>0.8</v>
      </c>
      <c r="E20" s="8" t="inlineStr">
        <is>
          <t>kg</t>
        </is>
      </c>
      <c r="F20" s="6" t="inlineStr">
        <is>
          <t>Acero al carbono maquinado</t>
        </is>
      </c>
    </row>
    <row r="21">
      <c r="A21" s="5" t="inlineStr">
        <is>
          <t>P16</t>
        </is>
      </c>
      <c r="B21" s="6" t="inlineStr">
        <is>
          <t>Masa del plato de arrastre</t>
        </is>
      </c>
      <c r="C21" s="5" t="inlineStr">
        <is>
          <t>m_p</t>
        </is>
      </c>
      <c r="D21" s="10" t="n">
        <v>0.5</v>
      </c>
      <c r="E21" s="8" t="inlineStr">
        <is>
          <t>kg</t>
        </is>
      </c>
      <c r="F21" s="6" t="inlineStr">
        <is>
          <t>Hierro fundido / acero</t>
        </is>
      </c>
    </row>
    <row r="22">
      <c r="A22" s="5" t="inlineStr">
        <is>
          <t>P17</t>
        </is>
      </c>
      <c r="B22" s="6" t="inlineStr">
        <is>
          <t>Carga axial inicial contrapunto</t>
        </is>
      </c>
      <c r="C22" s="5" t="inlineStr">
        <is>
          <t>F_0</t>
        </is>
      </c>
      <c r="D22" s="7" t="n">
        <v>500</v>
      </c>
      <c r="E22" s="8" t="inlineStr">
        <is>
          <t>N</t>
        </is>
      </c>
      <c r="F22" s="6" t="inlineStr">
        <is>
          <t>Retención estática sin vibración</t>
        </is>
      </c>
    </row>
    <row r="23">
      <c r="A23" s="5" t="inlineStr">
        <is>
          <t>P18</t>
        </is>
      </c>
      <c r="B23" s="6" t="inlineStr">
        <is>
          <t>Constante rigidez madera/centro</t>
        </is>
      </c>
      <c r="C23" s="5" t="inlineStr">
        <is>
          <t>k_c</t>
        </is>
      </c>
      <c r="D23" s="7" t="n">
        <v>50000</v>
      </c>
      <c r="E23" s="8" t="inlineStr">
        <is>
          <t>N/m</t>
        </is>
      </c>
      <c r="F23" s="6" t="inlineStr">
        <is>
          <t>50 N/mm compresión axial</t>
        </is>
      </c>
    </row>
    <row r="24">
      <c r="A24" s="5" t="inlineStr">
        <is>
          <t>P19</t>
        </is>
      </c>
      <c r="B24" s="6" t="inlineStr">
        <is>
          <t>Paso de rosca tornillo contrapunto</t>
        </is>
      </c>
      <c r="C24" s="5" t="inlineStr">
        <is>
          <t>p_rosca</t>
        </is>
      </c>
      <c r="D24" s="9" t="n">
        <v>0.002</v>
      </c>
      <c r="E24" s="8" t="inlineStr">
        <is>
          <t>m</t>
        </is>
      </c>
      <c r="F24" s="6" t="inlineStr">
        <is>
          <t>Rosca métrica ISO M14x2 (2 mm/rev)</t>
        </is>
      </c>
    </row>
    <row r="25">
      <c r="A25" s="5" t="inlineStr">
        <is>
          <t>P20</t>
        </is>
      </c>
      <c r="B25" s="6" t="inlineStr">
        <is>
          <t>Avance axial de apriete</t>
        </is>
      </c>
      <c r="C25" s="5" t="inlineStr">
        <is>
          <t>Delta_x</t>
        </is>
      </c>
      <c r="D25" s="9" t="n">
        <v>0.0015</v>
      </c>
      <c r="E25" s="8" t="inlineStr">
        <is>
          <t>m</t>
        </is>
      </c>
      <c r="F25" s="6" t="inlineStr">
        <is>
          <t>Desplazamiento caña (1.5 mm)</t>
        </is>
      </c>
    </row>
    <row r="26">
      <c r="A26" s="5" t="inlineStr">
        <is>
          <t>P21</t>
        </is>
      </c>
      <c r="B26" s="6" t="inlineStr">
        <is>
          <t>Radio del volante manual</t>
        </is>
      </c>
      <c r="C26" s="5" t="inlineStr">
        <is>
          <t>r_v</t>
        </is>
      </c>
      <c r="D26" s="9" t="n">
        <v>0.06</v>
      </c>
      <c r="E26" s="8" t="inlineStr">
        <is>
          <t>m</t>
        </is>
      </c>
      <c r="F26" s="6" t="inlineStr">
        <is>
          <t>Manivela contrapunto (60 mm)</t>
        </is>
      </c>
    </row>
    <row r="27">
      <c r="A27" s="5" t="inlineStr">
        <is>
          <t>P22</t>
        </is>
      </c>
      <c r="B27" s="6" t="inlineStr">
        <is>
          <t>Radio medio rosca husillo</t>
        </is>
      </c>
      <c r="C27" s="5" t="inlineStr">
        <is>
          <t>r_m</t>
        </is>
      </c>
      <c r="D27" s="9" t="n">
        <v>0.00635</v>
      </c>
      <c r="E27" s="8" t="inlineStr">
        <is>
          <t>m</t>
        </is>
      </c>
      <c r="F27" s="6" t="inlineStr">
        <is>
          <t>M14x2 d2/2 = 6.35 mm</t>
        </is>
      </c>
    </row>
    <row r="28">
      <c r="A28" s="5" t="inlineStr">
        <is>
          <t>P23</t>
        </is>
      </c>
      <c r="B28" s="6" t="inlineStr">
        <is>
          <t>Coeficiente de fricción rosca</t>
        </is>
      </c>
      <c r="C28" s="5" t="inlineStr">
        <is>
          <t>mu_rosca</t>
        </is>
      </c>
      <c r="D28" s="10" t="n">
        <v>0.15</v>
      </c>
      <c r="E28" s="8" t="inlineStr">
        <is>
          <t>-</t>
        </is>
      </c>
      <c r="F28" s="6" t="inlineStr">
        <is>
          <t>Acero sobre bronce/fundición</t>
        </is>
      </c>
    </row>
    <row r="29">
      <c r="A29" s="5" t="inlineStr">
        <is>
          <t>P24</t>
        </is>
      </c>
      <c r="B29" s="6" t="inlineStr">
        <is>
          <t>Par torsor nominal en régimen</t>
        </is>
      </c>
      <c r="C29" s="5" t="inlineStr">
        <is>
          <t>M_t</t>
        </is>
      </c>
      <c r="D29" s="10" t="n">
        <v>0.8</v>
      </c>
      <c r="E29" s="8" t="inlineStr">
        <is>
          <t>N·m</t>
        </is>
      </c>
      <c r="F29" s="6" t="inlineStr">
        <is>
          <t>Momento torsor constante</t>
        </is>
      </c>
    </row>
    <row r="30">
      <c r="A30" s="5" t="inlineStr">
        <is>
          <t>P25</t>
        </is>
      </c>
      <c r="B30" s="6" t="inlineStr">
        <is>
          <t>Límite fluencia cortante chaveta</t>
        </is>
      </c>
      <c r="C30" s="5" t="inlineStr">
        <is>
          <t>S_sy</t>
        </is>
      </c>
      <c r="D30" s="7" t="n">
        <v>213000000</v>
      </c>
      <c r="E30" s="8" t="inlineStr">
        <is>
          <t>Pa</t>
        </is>
      </c>
      <c r="F30" s="6" t="inlineStr">
        <is>
          <t>Acero AISI 1018 (213 MPa)</t>
        </is>
      </c>
    </row>
    <row r="31">
      <c r="A31" s="5" t="inlineStr">
        <is>
          <t>P26</t>
        </is>
      </c>
      <c r="B31" s="6" t="inlineStr">
        <is>
          <t>Ancho de chaveta DIN 6885</t>
        </is>
      </c>
      <c r="C31" s="5" t="inlineStr">
        <is>
          <t>b_ch</t>
        </is>
      </c>
      <c r="D31" s="9" t="n">
        <v>0.006</v>
      </c>
      <c r="E31" s="8" t="inlineStr">
        <is>
          <t>m</t>
        </is>
      </c>
      <c r="F31" s="6" t="inlineStr">
        <is>
          <t>Chaveta cuadrada 6x6 mm</t>
        </is>
      </c>
    </row>
    <row r="32">
      <c r="A32" s="5" t="inlineStr">
        <is>
          <t>P27</t>
        </is>
      </c>
      <c r="B32" s="6" t="inlineStr">
        <is>
          <t>Altura de chaveta DIN 6885</t>
        </is>
      </c>
      <c r="C32" s="5" t="inlineStr">
        <is>
          <t>h_ch</t>
        </is>
      </c>
      <c r="D32" s="9" t="n">
        <v>0.006</v>
      </c>
      <c r="E32" s="8" t="inlineStr">
        <is>
          <t>m</t>
        </is>
      </c>
      <c r="F32" s="6" t="inlineStr">
        <is>
          <t>Chaveta cuadrada 6x6 mm</t>
        </is>
      </c>
    </row>
    <row r="33">
      <c r="A33" s="5" t="inlineStr">
        <is>
          <t>P28</t>
        </is>
      </c>
      <c r="B33" s="6" t="inlineStr">
        <is>
          <t>Longitud de chaveta</t>
        </is>
      </c>
      <c r="C33" s="5" t="inlineStr">
        <is>
          <t>L_ch</t>
        </is>
      </c>
      <c r="D33" s="9" t="n">
        <v>0.02</v>
      </c>
      <c r="E33" s="8" t="inlineStr">
        <is>
          <t>m</t>
        </is>
      </c>
      <c r="F33" s="6" t="inlineStr">
        <is>
          <t>Longitud de contacto (20 mm)</t>
        </is>
      </c>
    </row>
    <row r="34">
      <c r="A34" s="5" t="inlineStr">
        <is>
          <t>P29</t>
        </is>
      </c>
      <c r="B34" s="6" t="inlineStr">
        <is>
          <t>Factor concentración esfuerzos</t>
        </is>
      </c>
      <c r="C34" s="5" t="inlineStr">
        <is>
          <t>K_t</t>
        </is>
      </c>
      <c r="D34" s="10" t="n">
        <v>1.6</v>
      </c>
      <c r="E34" s="8" t="inlineStr">
        <is>
          <t>-</t>
        </is>
      </c>
      <c r="F34" s="6" t="inlineStr">
        <is>
          <t>Chavetero fresado de extremo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showGridLines="1" workbookViewId="0">
      <selection activeCell="A1" sqref="A1"/>
    </sheetView>
  </sheetViews>
  <sheetFormatPr baseColWidth="8" defaultRowHeight="15"/>
  <cols>
    <col width="94" customWidth="1" min="1" max="1"/>
    <col width="43" customWidth="1" min="2" max="2"/>
    <col width="45" customWidth="1" min="3" max="3"/>
    <col width="247" customWidth="1" min="4" max="4"/>
    <col width="24" customWidth="1" min="5" max="5"/>
    <col width="13" customWidth="1" min="6" max="6"/>
    <col width="28" customWidth="1" min="7" max="7"/>
    <col width="35" customWidth="1" min="8" max="8"/>
    <col width="41" customWidth="1" min="9" max="9"/>
  </cols>
  <sheetData>
    <row r="1">
      <c r="A1" s="1" t="inlineStr">
        <is>
          <t>MEMORIA DE CÁLCULO ANALÍTICO DE LOS 20 CÁLCULOS DINÁMICOS</t>
        </is>
      </c>
    </row>
    <row r="2">
      <c r="A2" s="2" t="inlineStr">
        <is>
          <t>Modelado riguroso con fórmulas matemáticas dinámicas enlazadas a los parámetros de entrada</t>
        </is>
      </c>
    </row>
    <row r="3"/>
    <row r="4">
      <c r="A4" s="12" t="inlineStr">
        <is>
          <t>N°</t>
        </is>
      </c>
      <c r="B4" s="12" t="inlineStr">
        <is>
          <t>Cálculo Académico (Avance 2)</t>
        </is>
      </c>
      <c r="C4" s="12" t="inlineStr">
        <is>
          <t>Fórmula Teórica / Definición</t>
        </is>
      </c>
      <c r="D4" s="12" t="inlineStr">
        <is>
          <t>Fórmula Dinámica Excel (Evaluación)</t>
        </is>
      </c>
      <c r="E4" s="12" t="inlineStr">
        <is>
          <t>Resultado Simulación</t>
        </is>
      </c>
      <c r="F4" s="12" t="inlineStr">
        <is>
          <t>Unidad</t>
        </is>
      </c>
      <c r="G4" s="12" t="inlineStr">
        <is>
          <t>Valor Benchmark Avance 2</t>
        </is>
      </c>
      <c r="H4" s="12" t="inlineStr">
        <is>
          <t>Error Relativo</t>
        </is>
      </c>
      <c r="I4" s="12" t="inlineStr">
        <is>
          <t>Estado</t>
        </is>
      </c>
    </row>
    <row r="5">
      <c r="A5" s="5" t="inlineStr">
        <is>
          <t>C01</t>
        </is>
      </c>
      <c r="B5" s="13" t="inlineStr">
        <is>
          <t>Velocidad tangencial superficial</t>
        </is>
      </c>
      <c r="C5" s="14" t="inlineStr">
        <is>
          <t>v_t = omega_0 * R</t>
        </is>
      </c>
      <c r="D5" s="15">
        <f>((Parametros_Entrada!$D$6*2*PI()/60)*Parametros_Entrada!$D$7)</f>
        <v/>
      </c>
      <c r="E5" s="16">
        <f>D5</f>
        <v/>
      </c>
      <c r="F5" s="8" t="inlineStr">
        <is>
          <t>m/s</t>
        </is>
      </c>
      <c r="G5" s="17" t="n">
        <v>7.121</v>
      </c>
      <c r="H5" s="18">
        <f>IF(G5=0, 0, ABS(E5-G5)/G5)</f>
        <v/>
      </c>
      <c r="I5" s="19">
        <f>IF(H5&lt;0.005, "CONFORME", "REVISAR")</f>
        <v/>
      </c>
    </row>
    <row r="6">
      <c r="A6" s="5" t="inlineStr">
        <is>
          <t>C02</t>
        </is>
      </c>
      <c r="B6" s="13" t="inlineStr">
        <is>
          <t>Aceleración normal superficial</t>
        </is>
      </c>
      <c r="C6" s="14" t="inlineStr">
        <is>
          <t>a_n = omega_0^2 * R</t>
        </is>
      </c>
      <c r="D6" s="15">
        <f>(((Parametros_Entrada!$D$6*2*PI()/60)^2)*Parametros_Entrada!$D$7)</f>
        <v/>
      </c>
      <c r="E6" s="20">
        <f>D6</f>
        <v/>
      </c>
      <c r="F6" s="8" t="inlineStr">
        <is>
          <t>m/s²</t>
        </is>
      </c>
      <c r="G6" s="21" t="n">
        <v>1267.726</v>
      </c>
      <c r="H6" s="18">
        <f>IF(G6=0, 0, ABS(E6-G6)/G6)</f>
        <v/>
      </c>
      <c r="I6" s="19">
        <f>IF(H6&lt;0.005, "CONFORME", "REVISAR")</f>
        <v/>
      </c>
    </row>
    <row r="7">
      <c r="A7" s="5" t="inlineStr">
        <is>
          <t>C03</t>
        </is>
      </c>
      <c r="B7" s="13" t="inlineStr">
        <is>
          <t>Tiempo de aceleración arranque</t>
        </is>
      </c>
      <c r="C7" s="14" t="inlineStr">
        <is>
          <t>t_arr = 3 * tau_m</t>
        </is>
      </c>
      <c r="D7" s="15">
        <f>3*0.40</f>
        <v/>
      </c>
      <c r="E7" s="16">
        <f>D7</f>
        <v/>
      </c>
      <c r="F7" s="8" t="inlineStr">
        <is>
          <t>s</t>
        </is>
      </c>
      <c r="G7" s="17" t="n">
        <v>1.2</v>
      </c>
      <c r="H7" s="18">
        <f>IF(G7=0, 0, ABS(E7-G7)/G7)</f>
        <v/>
      </c>
      <c r="I7" s="19">
        <f>IF(H7&lt;0.005, "CONFORME", "REVISAR")</f>
        <v/>
      </c>
    </row>
    <row r="8">
      <c r="A8" s="5" t="inlineStr">
        <is>
          <t>C04</t>
        </is>
      </c>
      <c r="B8" s="13" t="inlineStr">
        <is>
          <t>Longitud de arco barrida en 1 s</t>
        </is>
      </c>
      <c r="C8" s="14" t="inlineStr">
        <is>
          <t>s = theta(1) * R</t>
        </is>
      </c>
      <c r="D8" s="15">
        <f>(0.5*((Parametros_Entrada!$D$6*2*PI()/60)/1.2)*1^2)*Parametros_Entrada!$D$7</f>
        <v/>
      </c>
      <c r="E8" s="16">
        <f>D8</f>
        <v/>
      </c>
      <c r="F8" s="8" t="inlineStr">
        <is>
          <t>m</t>
        </is>
      </c>
      <c r="G8" s="17" t="n">
        <v>2.967</v>
      </c>
      <c r="H8" s="18">
        <f>IF(G8=0, 0, ABS(E8-G8)/G8)</f>
        <v/>
      </c>
      <c r="I8" s="19">
        <f>IF(H8&lt;0.005, "CONFORME", "REVISAR")</f>
        <v/>
      </c>
    </row>
    <row r="9">
      <c r="A9" s="5" t="inlineStr">
        <is>
          <t>C05</t>
        </is>
      </c>
      <c r="B9" s="13" t="inlineStr">
        <is>
          <t>Velocidad de corte recomendada</t>
        </is>
      </c>
      <c r="C9" s="14" t="inlineStr">
        <is>
          <t>v_c = (pi * D * N) / 1000</t>
        </is>
      </c>
      <c r="D9" s="15">
        <f>(PI()*(2*Parametros_Entrada!$D$7*1000)*Parametros_Entrada!$D$6)/1000</f>
        <v/>
      </c>
      <c r="E9" s="20">
        <f>D9</f>
        <v/>
      </c>
      <c r="F9" s="8" t="inlineStr">
        <is>
          <t>m/min</t>
        </is>
      </c>
      <c r="G9" s="21" t="n">
        <v>427.257</v>
      </c>
      <c r="H9" s="18">
        <f>IF(G9=0, 0, ABS(E9-G9)/G9)</f>
        <v/>
      </c>
      <c r="I9" s="19">
        <f>IF(H9&lt;0.005, "CONFORME", "REVISAR")</f>
        <v/>
      </c>
    </row>
    <row r="10">
      <c r="A10" s="5" t="inlineStr">
        <is>
          <t>C06</t>
        </is>
      </c>
      <c r="B10" s="13" t="inlineStr">
        <is>
          <t>Deslizamiento del motor s</t>
        </is>
      </c>
      <c r="C10" s="14" t="inlineStr">
        <is>
          <t>s = (N_sinc - N_mot) / N_sinc</t>
        </is>
      </c>
      <c r="D10" s="15">
        <f>(((120*Parametros_Entrada!$D$12/Parametros_Entrada!$D$13)-Parametros_Entrada!$D$6)/(120*Parametros_Entrada!$D$12/Parametros_Entrada!$D$13))</f>
        <v/>
      </c>
      <c r="E10" s="22">
        <f>D10</f>
        <v/>
      </c>
      <c r="F10" s="8" t="inlineStr">
        <is>
          <t>%</t>
        </is>
      </c>
      <c r="G10" s="23" t="n">
        <v>0.0556</v>
      </c>
      <c r="H10" s="18">
        <f>IF(G10=0, 0, ABS(E10-G10)/G10)</f>
        <v/>
      </c>
      <c r="I10" s="19">
        <f>IF(H10&lt;0.005, "CONFORME", "REVISAR")</f>
        <v/>
      </c>
    </row>
    <row r="11">
      <c r="A11" s="5" t="inlineStr">
        <is>
          <t>C07</t>
        </is>
      </c>
      <c r="B11" s="13" t="inlineStr">
        <is>
          <t>Gradiente de velocidad tangencial</t>
        </is>
      </c>
      <c r="C11" s="14" t="inlineStr">
        <is>
          <t>dv/dr = omega_0</t>
        </is>
      </c>
      <c r="D11" s="15">
        <f>(Parametros_Entrada!$D$6*2*PI()/60)</f>
        <v/>
      </c>
      <c r="E11" s="16">
        <f>D11</f>
        <v/>
      </c>
      <c r="F11" s="8" t="inlineStr">
        <is>
          <t>s⁻¹</t>
        </is>
      </c>
      <c r="G11" s="17" t="n">
        <v>178.024</v>
      </c>
      <c r="H11" s="18">
        <f>IF(G11=0, 0, ABS(E11-G11)/G11)</f>
        <v/>
      </c>
      <c r="I11" s="19">
        <f>IF(H11&lt;0.005, "CONFORME", "REVISAR")</f>
        <v/>
      </c>
    </row>
    <row r="12">
      <c r="A12" s="5" t="inlineStr">
        <is>
          <t>C08</t>
        </is>
      </c>
      <c r="B12" s="13" t="inlineStr">
        <is>
          <t>Velocidad relativa de corte</t>
        </is>
      </c>
      <c r="C12" s="14" t="inlineStr">
        <is>
          <t>v_rel = sqrt(v_t^2 + v_a^2)</t>
        </is>
      </c>
      <c r="D12" s="15">
        <f>SQRT(((Parametros_Entrada!$D$6*2*PI()/60)*Parametros_Entrada!$D$7)^2 + Parametros_Entrada!$D$15^2)</f>
        <v/>
      </c>
      <c r="E12" s="16">
        <f>D12</f>
        <v/>
      </c>
      <c r="F12" s="8" t="inlineStr">
        <is>
          <t>m/s</t>
        </is>
      </c>
      <c r="G12" s="17" t="n">
        <v>7.121</v>
      </c>
      <c r="H12" s="18">
        <f>IF(G12=0, 0, ABS(E12-G12)/G12)</f>
        <v/>
      </c>
      <c r="I12" s="19">
        <f>IF(H12&lt;0.005, "CONFORME", "REVISAR")</f>
        <v/>
      </c>
    </row>
    <row r="13">
      <c r="A13" s="5" t="inlineStr">
        <is>
          <t>C09</t>
        </is>
      </c>
      <c r="B13" s="13" t="inlineStr">
        <is>
          <t>Aceleración por rebaje radial</t>
        </is>
      </c>
      <c r="C13" s="14" t="inlineStr">
        <is>
          <t>a_rebaje = -2*omega^2*r*(dr/dt)</t>
        </is>
      </c>
      <c r="D13" s="15">
        <f>2*((Parametros_Entrada!$D$6*2*PI()/60)^2)*Parametros_Entrada!$D$7*(Parametros_Entrada!$D$16/1.0)</f>
        <v/>
      </c>
      <c r="E13" s="16">
        <f>D13</f>
        <v/>
      </c>
      <c r="F13" s="8" t="inlineStr">
        <is>
          <t>m/s³</t>
        </is>
      </c>
      <c r="G13" s="17" t="n">
        <v>7.606</v>
      </c>
      <c r="H13" s="18">
        <f>IF(G13=0, 0, ABS(E13-G13)/G13)</f>
        <v/>
      </c>
      <c r="I13" s="19">
        <f>IF(H13&lt;0.005, "CONFORME", "REVISAR")</f>
        <v/>
      </c>
    </row>
    <row r="14">
      <c r="A14" s="5" t="inlineStr">
        <is>
          <t>C10</t>
        </is>
      </c>
      <c r="B14" s="13" t="inlineStr">
        <is>
          <t>Aceleración intrínseca resultante</t>
        </is>
      </c>
      <c r="C14" s="14" t="inlineStr">
        <is>
          <t>a_tot = sqrt(a_t^2 + a_n^2)</t>
        </is>
      </c>
      <c r="D14" s="15">
        <f>SQRT(((((Parametros_Entrada!$D$6*2*PI()/60)/1.2)*Parametros_Entrada!$D$7)^2) + ((((Parametros_Entrada!$D$6*2*PI()/60)^2)*Parametros_Entrada!$D$7)^2))</f>
        <v/>
      </c>
      <c r="E14" s="20">
        <f>D14</f>
        <v/>
      </c>
      <c r="F14" s="8" t="inlineStr">
        <is>
          <t>m/s²</t>
        </is>
      </c>
      <c r="G14" s="21" t="n">
        <v>1267.73</v>
      </c>
      <c r="H14" s="18">
        <f>IF(G14=0, 0, ABS(E14-G14)/G14)</f>
        <v/>
      </c>
      <c r="I14" s="19">
        <f>IF(H14&lt;0.005, "CONFORME", "REVISAR")</f>
        <v/>
      </c>
    </row>
    <row r="15">
      <c r="A15" s="5" t="inlineStr">
        <is>
          <t>C11</t>
        </is>
      </c>
      <c r="B15" s="13" t="inlineStr">
        <is>
          <t>Fuerza centrífuga de desbalance</t>
        </is>
      </c>
      <c r="C15" s="14" t="inlineStr">
        <is>
          <t>F_u = m_u * e * omega^2</t>
        </is>
      </c>
      <c r="D15" s="15">
        <f>Parametros_Entrada!$D$10*Parametros_Entrada!$D$11*((Parametros_Entrada!$D$6*2*PI()/60)^2)</f>
        <v/>
      </c>
      <c r="E15" s="16">
        <f>D15</f>
        <v/>
      </c>
      <c r="F15" s="8" t="inlineStr">
        <is>
          <t>N</t>
        </is>
      </c>
      <c r="G15" s="17" t="n">
        <v>1.268</v>
      </c>
      <c r="H15" s="18">
        <f>IF(G15=0, 0, ABS(E15-G15)/G15)</f>
        <v/>
      </c>
      <c r="I15" s="19">
        <f>IF(H15&lt;0.005, "CONFORME", "REVISAR")</f>
        <v/>
      </c>
    </row>
    <row r="16">
      <c r="A16" s="5" t="inlineStr">
        <is>
          <t>C12</t>
        </is>
      </c>
      <c r="B16" s="13" t="inlineStr">
        <is>
          <t>Energía cinética rotacional nominal</t>
        </is>
      </c>
      <c r="C16" s="14" t="inlineStr">
        <is>
          <t>E_k = 0.5 * I_tot * omega^2</t>
        </is>
      </c>
      <c r="D16" s="15">
        <f>0.5*0.001648*((Parametros_Entrada!$D$6*2*PI()/60)^2)</f>
        <v/>
      </c>
      <c r="E16" s="16">
        <f>D16</f>
        <v/>
      </c>
      <c r="F16" s="8" t="inlineStr">
        <is>
          <t>J</t>
        </is>
      </c>
      <c r="G16" s="17" t="n">
        <v>26.115</v>
      </c>
      <c r="H16" s="18">
        <f>IF(G16=0, 0, ABS(E16-G16)/G16)</f>
        <v/>
      </c>
      <c r="I16" s="19">
        <f>IF(H16&lt;0.005, "CONFORME", "REVISAR")</f>
        <v/>
      </c>
    </row>
    <row r="17">
      <c r="A17" s="5" t="inlineStr">
        <is>
          <t>C13</t>
        </is>
      </c>
      <c r="B17" s="13" t="inlineStr">
        <is>
          <t>Potencia mecánica útil de corte</t>
        </is>
      </c>
      <c r="C17" s="14" t="inlineStr">
        <is>
          <t>P_corte = F_c * v_t</t>
        </is>
      </c>
      <c r="D17" s="15">
        <f>Parametros_Entrada!$D$14*((Parametros_Entrada!$D$6*2*PI()/60)*Parametros_Entrada!$D$7)</f>
        <v/>
      </c>
      <c r="E17" s="16">
        <f>D17</f>
        <v/>
      </c>
      <c r="F17" s="8" t="inlineStr">
        <is>
          <t>W</t>
        </is>
      </c>
      <c r="G17" s="17" t="n">
        <v>142.419</v>
      </c>
      <c r="H17" s="18">
        <f>IF(G17=0, 0, ABS(E17-G17)/G17)</f>
        <v/>
      </c>
      <c r="I17" s="19">
        <f>IF(H17&lt;0.005, "CONFORME", "REVISAR")</f>
        <v/>
      </c>
    </row>
    <row r="18">
      <c r="A18" s="5" t="inlineStr">
        <is>
          <t>C14</t>
        </is>
      </c>
      <c r="B18" s="13" t="inlineStr">
        <is>
          <t>Momento angular total H</t>
        </is>
      </c>
      <c r="C18" s="14" t="inlineStr">
        <is>
          <t>H = I_tot * omega_0</t>
        </is>
      </c>
      <c r="D18" s="15">
        <f>0.001648*(Parametros_Entrada!$D$6*2*PI()/60)</f>
        <v/>
      </c>
      <c r="E18" s="16">
        <f>D18</f>
        <v/>
      </c>
      <c r="F18" s="8" t="inlineStr">
        <is>
          <t>N·m·s</t>
        </is>
      </c>
      <c r="G18" s="17" t="n">
        <v>0.293</v>
      </c>
      <c r="H18" s="18">
        <f>IF(G18=0, 0, ABS(E18-G18)/G18)</f>
        <v/>
      </c>
      <c r="I18" s="19">
        <f>IF(H18&lt;0.005, "CONFORME", "REVISAR")</f>
        <v/>
      </c>
    </row>
    <row r="19">
      <c r="A19" s="5" t="inlineStr">
        <is>
          <t>C15</t>
        </is>
      </c>
      <c r="B19" s="13" t="inlineStr">
        <is>
          <t>Fuerza de reacción por expulsión viruta</t>
        </is>
      </c>
      <c r="C19" s="14" t="inlineStr">
        <is>
          <t>F_viruta = m_dot * v_t</t>
        </is>
      </c>
      <c r="D19" s="15">
        <f>Parametros_Entrada!$D$17*((Parametros_Entrada!$D$6*2*PI()/60)*Parametros_Entrada!$D$7)</f>
        <v/>
      </c>
      <c r="E19" s="24">
        <f>D19</f>
        <v/>
      </c>
      <c r="F19" s="8" t="inlineStr">
        <is>
          <t>N</t>
        </is>
      </c>
      <c r="G19" s="25" t="n">
        <v>0.0356</v>
      </c>
      <c r="H19" s="18">
        <f>IF(G19=0, 0, ABS(E19-G19)/G19)</f>
        <v/>
      </c>
      <c r="I19" s="19">
        <f>IF(H19&lt;0.005, "CONFORME", "REVISAR")</f>
        <v/>
      </c>
    </row>
    <row r="20">
      <c r="A20" s="5" t="inlineStr">
        <is>
          <t>C16</t>
        </is>
      </c>
      <c r="B20" s="13" t="inlineStr">
        <is>
          <t>Momento de inercia total equivalente</t>
        </is>
      </c>
      <c r="C20" s="14" t="inlineStr">
        <is>
          <t>I_tot = I_husillo + I_plato + I_madera</t>
        </is>
      </c>
      <c r="D20" s="15">
        <f>(0.5*Parametros_Entrada!$D$20*(Parametros_Entrada!$D$18/2)^2) + (0.5*Parametros_Entrada!$D$21*(Parametros_Entrada!$D$19/2)^2) + (0.5*(Parametros_Entrada!$D$9*PI()*(Parametros_Entrada!$D$7^2)*Parametros_Entrada!$D$8)*Parametros_Entrada!$D$7^2)</f>
        <v/>
      </c>
      <c r="E20" s="26">
        <f>D20</f>
        <v/>
      </c>
      <c r="F20" s="8" t="inlineStr">
        <is>
          <t>kg·m²</t>
        </is>
      </c>
      <c r="G20" s="27" t="n">
        <v>0.001648</v>
      </c>
      <c r="H20" s="18">
        <f>IF(G20=0, 0, ABS(E20-G20)/G20)</f>
        <v/>
      </c>
      <c r="I20" s="19">
        <f>IF(H20&lt;0.005, "CONFORME", "REVISAR")</f>
        <v/>
      </c>
    </row>
    <row r="21">
      <c r="A21" s="5" t="inlineStr">
        <is>
          <t>C17</t>
        </is>
      </c>
      <c r="B21" s="13" t="inlineStr">
        <is>
          <t>Coeficiente de amortiguamiento viscoso</t>
        </is>
      </c>
      <c r="C21" s="14" t="inlineStr">
        <is>
          <t>b = M_perdidas / omega_0</t>
        </is>
      </c>
      <c r="D21" s="15">
        <f>0.050/(Parametros_Entrada!$D$6*2*PI()/60)</f>
        <v/>
      </c>
      <c r="E21" s="28">
        <f>D21</f>
        <v/>
      </c>
      <c r="F21" s="8" t="inlineStr">
        <is>
          <t>N·m·s/rad</t>
        </is>
      </c>
      <c r="G21" s="29" t="n">
        <v>0.0002809</v>
      </c>
      <c r="H21" s="18">
        <f>IF(G21=0, 0, ABS(E21-G21)/G21)</f>
        <v/>
      </c>
      <c r="I21" s="19">
        <f>IF(H21&lt;0.005, "CONFORME", "REVISAR")</f>
        <v/>
      </c>
    </row>
    <row r="22">
      <c r="A22" s="5" t="inlineStr">
        <is>
          <t>C18</t>
        </is>
      </c>
      <c r="B22" s="13" t="inlineStr">
        <is>
          <t>Tiempo de frenado libre (Rundown)</t>
        </is>
      </c>
      <c r="C22" s="14" t="inlineStr">
        <is>
          <t>t_parada = 3 * (I_tot / b)</t>
        </is>
      </c>
      <c r="D22" s="15">
        <f>3*(0.001648/(0.050/(Parametros_Entrada!$D$6*2*PI()/60)))</f>
        <v/>
      </c>
      <c r="E22" s="16">
        <f>D22</f>
        <v/>
      </c>
      <c r="F22" s="8" t="inlineStr">
        <is>
          <t>s</t>
        </is>
      </c>
      <c r="G22" s="17" t="n">
        <v>17.6</v>
      </c>
      <c r="H22" s="18">
        <f>IF(G22=0, 0, ABS(E22-G22)/G22)</f>
        <v/>
      </c>
      <c r="I22" s="19">
        <f>IF(H22&lt;0.005, "CONFORME", "REVISAR")</f>
        <v/>
      </c>
    </row>
    <row r="23">
      <c r="A23" s="5" t="inlineStr">
        <is>
          <t>C19</t>
        </is>
      </c>
      <c r="B23" s="13" t="inlineStr">
        <is>
          <t>Esfuerzo cortante máximo en chaveta</t>
        </is>
      </c>
      <c r="C23" s="14" t="inlineStr">
        <is>
          <t>tau_max = K_t * (16*M_t / (pi*d^3))</t>
        </is>
      </c>
      <c r="D23" s="15">
        <f>Parametros_Entrada!$D$34*(16*Parametros_Entrada!$D$29/(PI()*(Parametros_Entrada!$D$18^3)))/1000000</f>
        <v/>
      </c>
      <c r="E23" s="16">
        <f>D23</f>
        <v/>
      </c>
      <c r="F23" s="8" t="inlineStr">
        <is>
          <t>MPa</t>
        </is>
      </c>
      <c r="G23" s="17" t="n">
        <v>0.95</v>
      </c>
      <c r="H23" s="18">
        <f>IF(G23=0, 0, ABS(E23-G23)/G23)</f>
        <v/>
      </c>
      <c r="I23" s="19">
        <f>IF(H23&lt;0.005, "CONFORME", "REVISAR")</f>
        <v/>
      </c>
    </row>
    <row r="24">
      <c r="A24" s="5" t="inlineStr">
        <is>
          <t>C20</t>
        </is>
      </c>
      <c r="B24" s="13" t="inlineStr">
        <is>
          <t>Fuerza axial contrapunto y trabajo</t>
        </is>
      </c>
      <c r="C24" s="14" t="inlineStr">
        <is>
          <t>F_ax = F_0 + k*Dx ; U = 0.5*(F_0+F_ax)*Dx</t>
        </is>
      </c>
      <c r="D24" s="15">
        <f>Parametros_Entrada!$D$22 + (Parametros_Entrada!$D$23*Parametros_Entrada!$D$25)</f>
        <v/>
      </c>
      <c r="E24" s="16">
        <f>D24</f>
        <v/>
      </c>
      <c r="F24" s="8" t="inlineStr">
        <is>
          <t>N</t>
        </is>
      </c>
      <c r="G24" s="17" t="n">
        <v>575</v>
      </c>
      <c r="H24" s="18">
        <f>IF(G24=0, 0, ABS(E24-G24)/G24)</f>
        <v/>
      </c>
      <c r="I24" s="19">
        <f>IF(H24&lt;0.005, "CONFORME", "REVISAR")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2026-09-17T05:15:13Z</dcterms:created>
  <dcterms:modified xmlns:dcterms="http://purl.org/dc/terms/" xmlns:xsi="http://www.w3.org/2001/XMLSchema-instance" xsi:type="dcterms:W3CDTF">2026-09-17T05:15:13Z</dcterms:modified>
</cp:coreProperties>
</file>